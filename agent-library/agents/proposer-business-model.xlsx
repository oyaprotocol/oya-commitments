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frastructure Costs" sheetId="2" state="visible" r:id="rId4"/>
    <sheet name="P&amp;L — 100K vs 200K" sheetId="3" state="visible" r:id="rId5"/>
    <sheet name="Competitive Landscap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<sst xmlns="http://schemas.openxmlformats.org/spreadsheetml/2006/main" count="139" uniqueCount="139">
  <si>
    <t xml:space="preserve">OYA NODE PROPOSER — FULL BUSINESS MODEL</t>
  </si>
  <si>
    <t xml:space="preserve">TRANSACTION ASSUMPTIONS</t>
  </si>
  <si>
    <t xml:space="preserve">Complete trade cycles per month</t>
  </si>
  <si>
    <t xml:space="preserve">Each cycle = 1 agent trade copied</t>
  </si>
  <si>
    <t xml:space="preserve">Proposals per trade cycle</t>
  </si>
  <si>
    <t xml:space="preserve">1 reimbursement + 1 redemption/distribution</t>
  </si>
  <si>
    <t xml:space="preserve">Total proposals per month</t>
  </si>
  <si>
    <t xml:space="preserve">This is the 100K number</t>
  </si>
  <si>
    <t xml:space="preserve">BOND &amp; TIMING</t>
  </si>
  <si>
    <t xml:space="preserve">OO Bond amount (USDC)</t>
  </si>
  <si>
    <t xml:space="preserve">Per proposal to Optimistic Oracle</t>
  </si>
  <si>
    <t xml:space="preserve">Challenge period (hours)</t>
  </si>
  <si>
    <t xml:space="preserve">Time bond is locked</t>
  </si>
  <si>
    <t xml:space="preserve">Days in month</t>
  </si>
  <si>
    <t xml:space="preserve">Hours in day</t>
  </si>
  <si>
    <t xml:space="preserve">DERIVED — BOND CAPITAL NEEDS</t>
  </si>
  <si>
    <t xml:space="preserve">Proposals per hour</t>
  </si>
  <si>
    <t xml:space="preserve">Concurrent proposals at any time</t>
  </si>
  <si>
    <t xml:space="preserve">Bond capital locked at peak (USDC)</t>
  </si>
  <si>
    <t xml:space="preserve">Bond recycling per day (times)</t>
  </si>
  <si>
    <t xml:space="preserve">Each $250 is reused this many times/day</t>
  </si>
  <si>
    <t xml:space="preserve">FEE ASSUMPTIONS</t>
  </si>
  <si>
    <t xml:space="preserve">Fee per proposal (USDC)</t>
  </si>
  <si>
    <t xml:space="preserve">Fixed fee — same for reimbursement &amp; redemption</t>
  </si>
  <si>
    <t xml:space="preserve">Average trade size (USDC)</t>
  </si>
  <si>
    <t xml:space="preserve">For reference only (fee is fixed)</t>
  </si>
  <si>
    <t xml:space="preserve">INFRASTRUCTURE COSTS — WHAT YOU ACTUALLY NEED</t>
  </si>
  <si>
    <t xml:space="preserve">KEY DIFFERENCE: OYA PROPOSER vs BLOCKCHAIN VALIDATOR</t>
  </si>
  <si>
    <t xml:space="preserve">Chorus One, Figment, etc. run full blockchain validators (Ethereum, Cosmos, Solana)</t>
  </si>
  <si>
    <t xml:space="preserve">requiring heavy hardware ($500-$4,000+/month). An Oya proposer node is a lightweight</t>
  </si>
  <si>
    <t xml:space="preserve">Node.js app that signs &amp; submits transactions — similar to running a bot, not a validator.</t>
  </si>
  <si>
    <t xml:space="preserve">Component</t>
  </si>
  <si>
    <t xml:space="preserve">100K proposals/mo</t>
  </si>
  <si>
    <t xml:space="preserve">200K proposals/mo</t>
  </si>
  <si>
    <t xml:space="preserve">Notes</t>
  </si>
  <si>
    <t xml:space="preserve">VPS / Cloud Server</t>
  </si>
  <si>
    <t xml:space="preserve">Hetzner CPX31 or DigitalOcean $40-80/mo (4 vCPU, 8GB RAM)</t>
  </si>
  <si>
    <t xml:space="preserve">  — Redundant backup server</t>
  </si>
  <si>
    <t xml:space="preserve">Second server for failover (recommended)</t>
  </si>
  <si>
    <t xml:space="preserve">Polygon RPC — Alchemy Growth</t>
  </si>
  <si>
    <t xml:space="preserve">Alchemy Growth $49/mo (40M CU); ~$99 for heavy usage</t>
  </si>
  <si>
    <t xml:space="preserve">  — Backup RPC (Infura/Chainstack)</t>
  </si>
  <si>
    <t xml:space="preserve">Free tier as backup; paid at high volume</t>
  </si>
  <si>
    <t xml:space="preserve">IPFS Pinning — Pinata Picnic</t>
  </si>
  <si>
    <t xml:space="preserve">Pinata $20/mo (1TB storage, 500GB bandwidth)</t>
  </si>
  <si>
    <t xml:space="preserve">Domain + SSL</t>
  </si>
  <si>
    <t xml:space="preserve">Cloudflare free tier + $2/mo domain</t>
  </si>
  <si>
    <t xml:space="preserve">Monitoring (UptimeRobot/Grafana)</t>
  </si>
  <si>
    <t xml:space="preserve">Free tier at 100K; basic paid at 200K</t>
  </si>
  <si>
    <t xml:space="preserve">Gas costs (Polygon)</t>
  </si>
  <si>
    <t xml:space="preserve">Calculated below</t>
  </si>
  <si>
    <t xml:space="preserve">POLYGON GAS COSTS</t>
  </si>
  <si>
    <t xml:space="preserve">Gas per proposal tx (USD)</t>
  </si>
  <si>
    <t xml:space="preserve">Polygon avg gas ~$0.01-0.03 per tx</t>
  </si>
  <si>
    <t xml:space="preserve">Monthly gas cost (USD)</t>
  </si>
  <si>
    <t xml:space="preserve">TOTAL MONTHLY INFRASTRUCTURE</t>
  </si>
  <si>
    <t xml:space="preserve">FOR CONTEXT: TRADITIONAL VALIDATOR COSTS</t>
  </si>
  <si>
    <t xml:space="preserve">Ethereum validator (self-hosted)</t>
  </si>
  <si>
    <t xml:space="preserve">$175-400/mo</t>
  </si>
  <si>
    <t xml:space="preserve">16GB RAM, 2TB SSD, dedicated hardware</t>
  </si>
  <si>
    <t xml:space="preserve">Ethereum validator (cloud)</t>
  </si>
  <si>
    <t xml:space="preserve">$500-2,000/mo</t>
  </si>
  <si>
    <t xml:space="preserve">AWS/GCP managed node services</t>
  </si>
  <si>
    <t xml:space="preserve">Solana validator</t>
  </si>
  <si>
    <t xml:space="preserve">$2,000-4,000+/mo</t>
  </si>
  <si>
    <t xml:space="preserve">256GB RAM, high-perf NVMe, 10Gbps network</t>
  </si>
  <si>
    <t xml:space="preserve">Cosmos/Tendermint validator</t>
  </si>
  <si>
    <t xml:space="preserve">$200-800/mo</t>
  </si>
  <si>
    <t xml:space="preserve">Moderate hardware requirements</t>
  </si>
  <si>
    <t xml:space="preserve">Oya proposer node (YOU)</t>
  </si>
  <si>
    <t xml:space="preserve">~$151-346/mo</t>
  </si>
  <si>
    <t xml:space="preserve">Lightweight Node.js — NOT a blockchain validator</t>
  </si>
  <si>
    <t xml:space="preserve">MONTHLY P&amp;L — PROPOSER NODE OPERATOR</t>
  </si>
  <si>
    <t xml:space="preserve">100K Proposals/mo</t>
  </si>
  <si>
    <t xml:space="preserve">200K Proposals/mo</t>
  </si>
  <si>
    <t xml:space="preserve">REVENUE</t>
  </si>
  <si>
    <t xml:space="preserve">Trade cycles</t>
  </si>
  <si>
    <t xml:space="preserve">Proposals per cycle</t>
  </si>
  <si>
    <t xml:space="preserve">Total proposals</t>
  </si>
  <si>
    <t xml:space="preserve">Fee per proposal</t>
  </si>
  <si>
    <t xml:space="preserve">GROSS REVENUE</t>
  </si>
  <si>
    <t xml:space="preserve">COSTS</t>
  </si>
  <si>
    <t xml:space="preserve">Infrastructure (servers, RPC, IPFS)</t>
  </si>
  <si>
    <t xml:space="preserve">Gas costs (included in infra)</t>
  </si>
  <si>
    <t xml:space="preserve">TOTAL COSTS</t>
  </si>
  <si>
    <t xml:space="preserve">PROFIT</t>
  </si>
  <si>
    <t xml:space="preserve">NET MONTHLY PROFIT</t>
  </si>
  <si>
    <t xml:space="preserve">Net annual profit</t>
  </si>
  <si>
    <t xml:space="preserve">Profit margin</t>
  </si>
  <si>
    <t xml:space="preserve">Bond capital required</t>
  </si>
  <si>
    <t xml:space="preserve">Monthly ROI on bond capital</t>
  </si>
  <si>
    <t xml:space="preserve">Annualized ROI on bond capital</t>
  </si>
  <si>
    <t xml:space="preserve">Total capital needed (bonds + 3mo infra)</t>
  </si>
  <si>
    <t xml:space="preserve">Monthly ROI on total capital</t>
  </si>
  <si>
    <t xml:space="preserve">Payback period (months)</t>
  </si>
  <si>
    <t xml:space="preserve">CAN EXISTING NODE RUNNERS OUTCOMPETE YOU?</t>
  </si>
  <si>
    <t xml:space="preserve">SHORT ANSWER: Different business, different moat.</t>
  </si>
  <si>
    <t xml:space="preserve">Factor</t>
  </si>
  <si>
    <t xml:space="preserve">Chorus One / Figment</t>
  </si>
  <si>
    <t xml:space="preserve">Oya Proposer (You)</t>
  </si>
  <si>
    <t xml:space="preserve">Your Edge</t>
  </si>
  <si>
    <t xml:space="preserve">What they run</t>
  </si>
  <si>
    <t xml:space="preserve">Full blockchain validators</t>
  </si>
  <si>
    <t xml:space="preserve">Lightweight tx proposer</t>
  </si>
  <si>
    <t xml:space="preserve">90% lower infra cost</t>
  </si>
  <si>
    <t xml:space="preserve">Monthly infra cost</t>
  </si>
  <si>
    <t xml:space="preserve">$500-$4,000+</t>
  </si>
  <si>
    <t xml:space="preserve">~$150-350</t>
  </si>
  <si>
    <t xml:space="preserve">You're 10-20x cheaper to operate</t>
  </si>
  <si>
    <t xml:space="preserve">Capital requirement</t>
  </si>
  <si>
    <t xml:space="preserve">Millions (staked tokens)</t>
  </si>
  <si>
    <t xml:space="preserve">~$70K (recycling bonds)</t>
  </si>
  <si>
    <t xml:space="preserve">Low barrier to entry</t>
  </si>
  <si>
    <t xml:space="preserve">Revenue model</t>
  </si>
  <si>
    <t xml:space="preserve">Staking rewards + MEV</t>
  </si>
  <si>
    <t xml:space="preserve">Per-proposal fixed fee</t>
  </si>
  <si>
    <t xml:space="preserve">Predictable, not market-dependent</t>
  </si>
  <si>
    <t xml:space="preserve">Hardware needs</t>
  </si>
  <si>
    <t xml:space="preserve">High-end servers, NVMe</t>
  </si>
  <si>
    <t xml:space="preserve">Basic VPS ($40/mo)</t>
  </si>
  <si>
    <t xml:space="preserve">Can run from laptop initially</t>
  </si>
  <si>
    <t xml:space="preserve">Network effect / moat</t>
  </si>
  <si>
    <t xml:space="preserve">Reputation + delegation</t>
  </si>
  <si>
    <t xml:space="preserve">Oya ecosystem integration</t>
  </si>
  <si>
    <t xml:space="preserve">First-mover in OG proposals</t>
  </si>
  <si>
    <t xml:space="preserve">Competition risk</t>
  </si>
  <si>
    <t xml:space="preserve">Crowded validator market</t>
  </si>
  <si>
    <t xml:space="preserve">New category (OG proposer)</t>
  </si>
  <si>
    <t xml:space="preserve">No direct competitors yet</t>
  </si>
  <si>
    <t xml:space="preserve">Scaling</t>
  </si>
  <si>
    <t xml:space="preserve">Need more hardware per chain</t>
  </si>
  <si>
    <t xml:space="preserve">Same node handles more volume</t>
  </si>
  <si>
    <t xml:space="preserve">Near-zero marginal cost</t>
  </si>
  <si>
    <t xml:space="preserve">WHY VALIDATORS CAN'T EASILY PIVOT TO THIS</t>
  </si>
  <si>
    <t xml:space="preserve">1. Different protocol expertise — they know consensus, not OG/UMA verification</t>
  </si>
  <si>
    <t xml:space="preserve">2. Their infra is optimized for block production, not lightweight tx submission</t>
  </si>
  <si>
    <t xml:space="preserve">3. They need large delegations to be profitable; you need volume of proposals</t>
  </si>
  <si>
    <t xml:space="preserve">4. The Oya proposer role is protocol-specific knowledge that takes time to build</t>
  </si>
  <si>
    <t xml:space="preserve">5. Your real moat: deep integration with Oya agents + being first to market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</si>
</sst>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\$#,##0"/>
    <numFmt numFmtId="168" formatCode="#,##0.0"/>
    <numFmt numFmtId="169" formatCode="0.0\x"/>
    <numFmt numFmtId="170" formatCode="\$#,##0.00"/>
    <numFmt numFmtId="171" formatCode="\$#,##0.000"/>
    <numFmt numFmtId="172" formatCode="0.0%"/>
    <numFmt numFmtId="173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3"/>
      <color rgb="FF548235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sz val="10"/>
      <name val="Arial"/>
      <family val="0"/>
      <charset val="1"/>
    </font>
    <font>
      <sz val="10"/>
      <color rgb="FF548235"/>
      <name val="Arial"/>
      <family val="0"/>
      <charset val="1"/>
    </font>
    <font>
      <b val="true"/>
      <sz val="10"/>
      <color rgb="FF7030A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CE4EC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F2F2F2"/>
      </patternFill>
    </fill>
    <fill>
      <patternFill patternType="solid">
        <fgColor rgb="FFE2D0F0"/>
        <bgColor rgb="FFD6E4F0"/>
      </patternFill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4" t="s">
        <v>2</v>
      </c>
      <c r="B4" s="5" t="n">
        <v>50000</v>
      </c>
      <c r="C4" s="6" t="s">
        <v>3</v>
      </c>
    </row>
    <row r="5" customFormat="false" ht="15" hidden="false" customHeight="false" outlineLevel="0" collapsed="false">
      <c r="A5" s="4" t="s">
        <v>4</v>
      </c>
      <c r="B5" s="7" t="n">
        <v>2</v>
      </c>
      <c r="C5" s="6" t="s">
        <v>5</v>
      </c>
    </row>
    <row r="6" customFormat="false" ht="15" hidden="false" customHeight="false" outlineLevel="0" collapsed="false">
      <c r="A6" s="4" t="s">
        <v>6</v>
      </c>
      <c r="B6" s="8" t="n">
        <f aca="false">B4*B5</f>
        <v>100000</v>
      </c>
      <c r="C6" s="6" t="s">
        <v>7</v>
      </c>
    </row>
    <row r="8" customFormat="false" ht="15" hidden="false" customHeight="false" outlineLevel="0" collapsed="false">
      <c r="A8" s="2" t="s">
        <v>8</v>
      </c>
      <c r="B8" s="3"/>
      <c r="C8" s="3"/>
    </row>
    <row r="9" customFormat="false" ht="15" hidden="false" customHeight="false" outlineLevel="0" collapsed="false">
      <c r="A9" s="4" t="s">
        <v>9</v>
      </c>
      <c r="B9" s="9" t="n">
        <v>250</v>
      </c>
      <c r="C9" s="6" t="s">
        <v>10</v>
      </c>
    </row>
    <row r="10" customFormat="false" ht="15" hidden="false" customHeight="false" outlineLevel="0" collapsed="false">
      <c r="A10" s="4" t="s">
        <v>11</v>
      </c>
      <c r="B10" s="7" t="n">
        <v>2</v>
      </c>
      <c r="C10" s="6" t="s">
        <v>12</v>
      </c>
    </row>
    <row r="11" customFormat="false" ht="15" hidden="false" customHeight="false" outlineLevel="0" collapsed="false">
      <c r="A11" s="4" t="s">
        <v>13</v>
      </c>
      <c r="B11" s="7" t="n">
        <v>30</v>
      </c>
    </row>
    <row r="12" customFormat="false" ht="15" hidden="false" customHeight="false" outlineLevel="0" collapsed="false">
      <c r="A12" s="4" t="s">
        <v>14</v>
      </c>
      <c r="B12" s="7" t="n">
        <v>24</v>
      </c>
    </row>
    <row r="14" customFormat="false" ht="15" hidden="false" customHeight="false" outlineLevel="0" collapsed="false">
      <c r="A14" s="2" t="s">
        <v>15</v>
      </c>
      <c r="B14" s="3"/>
      <c r="C14" s="3"/>
    </row>
    <row r="15" customFormat="false" ht="15" hidden="false" customHeight="false" outlineLevel="0" collapsed="false">
      <c r="A15" s="4" t="s">
        <v>16</v>
      </c>
      <c r="B15" s="10" t="n">
        <f aca="false">B6/(B11*B12)</f>
        <v>138.888888888889</v>
      </c>
    </row>
    <row r="16" customFormat="false" ht="15" hidden="false" customHeight="false" outlineLevel="0" collapsed="false">
      <c r="A16" s="4" t="s">
        <v>17</v>
      </c>
      <c r="B16" s="8" t="n">
        <f aca="false">B15*B10</f>
        <v>277.777777777778</v>
      </c>
    </row>
    <row r="17" customFormat="false" ht="15" hidden="false" customHeight="false" outlineLevel="0" collapsed="false">
      <c r="A17" s="4" t="s">
        <v>18</v>
      </c>
      <c r="B17" s="11" t="n">
        <f aca="false">B16*B9</f>
        <v>69444.4444444444</v>
      </c>
    </row>
    <row r="18" customFormat="false" ht="15" hidden="false" customHeight="false" outlineLevel="0" collapsed="false">
      <c r="A18" s="4" t="s">
        <v>19</v>
      </c>
      <c r="B18" s="12" t="n">
        <f aca="false">B12/B10</f>
        <v>12</v>
      </c>
      <c r="C18" s="6" t="s">
        <v>20</v>
      </c>
    </row>
    <row r="20" customFormat="false" ht="15" hidden="false" customHeight="false" outlineLevel="0" collapsed="false">
      <c r="A20" s="2" t="s">
        <v>21</v>
      </c>
      <c r="B20" s="3"/>
      <c r="C20" s="3"/>
    </row>
    <row r="21" customFormat="false" ht="15" hidden="false" customHeight="false" outlineLevel="0" collapsed="false">
      <c r="A21" s="4" t="s">
        <v>22</v>
      </c>
      <c r="B21" s="13" t="n">
        <v>0.5</v>
      </c>
      <c r="C21" s="6" t="s">
        <v>23</v>
      </c>
    </row>
    <row r="22" customFormat="false" ht="15" hidden="false" customHeight="false" outlineLevel="0" collapsed="false">
      <c r="A22" s="4" t="s">
        <v>24</v>
      </c>
      <c r="B22" s="9" t="n">
        <v>500</v>
      </c>
      <c r="C22" s="6" t="s">
        <v>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4" t="s">
        <v>26</v>
      </c>
      <c r="B1" s="14"/>
      <c r="C1" s="14"/>
      <c r="D1" s="14"/>
    </row>
    <row r="3" customFormat="false" ht="15" hidden="false" customHeight="false" outlineLevel="0" collapsed="false">
      <c r="A3" s="15" t="s">
        <v>27</v>
      </c>
    </row>
    <row r="4" customFormat="false" ht="15" hidden="false" customHeight="false" outlineLevel="0" collapsed="false">
      <c r="A4" s="6" t="s">
        <v>28</v>
      </c>
    </row>
    <row r="5" customFormat="false" ht="15" hidden="false" customHeight="false" outlineLevel="0" collapsed="false">
      <c r="A5" s="6" t="s">
        <v>29</v>
      </c>
    </row>
    <row r="6" customFormat="false" ht="15" hidden="false" customHeight="false" outlineLevel="0" collapsed="false">
      <c r="A6" s="6" t="s">
        <v>30</v>
      </c>
    </row>
    <row r="8" customFormat="false" ht="15" hidden="false" customHeight="false" outlineLevel="0" collapsed="false">
      <c r="A8" s="16" t="s">
        <v>31</v>
      </c>
      <c r="B8" s="16" t="s">
        <v>32</v>
      </c>
      <c r="C8" s="16" t="s">
        <v>33</v>
      </c>
      <c r="D8" s="16" t="s">
        <v>34</v>
      </c>
    </row>
    <row r="9" customFormat="false" ht="15" hidden="false" customHeight="false" outlineLevel="0" collapsed="false">
      <c r="A9" s="4" t="s">
        <v>35</v>
      </c>
      <c r="B9" s="9" t="n">
        <v>40</v>
      </c>
      <c r="C9" s="9" t="n">
        <v>80</v>
      </c>
      <c r="D9" s="6" t="s">
        <v>36</v>
      </c>
    </row>
    <row r="10" customFormat="false" ht="15" hidden="false" customHeight="false" outlineLevel="0" collapsed="false">
      <c r="A10" s="4" t="s">
        <v>37</v>
      </c>
      <c r="B10" s="9" t="n">
        <v>40</v>
      </c>
      <c r="C10" s="9" t="n">
        <v>80</v>
      </c>
      <c r="D10" s="6" t="s">
        <v>38</v>
      </c>
    </row>
    <row r="11" customFormat="false" ht="15" hidden="false" customHeight="false" outlineLevel="0" collapsed="false">
      <c r="A11" s="4" t="s">
        <v>39</v>
      </c>
      <c r="B11" s="9" t="n">
        <v>49</v>
      </c>
      <c r="C11" s="9" t="n">
        <v>99</v>
      </c>
      <c r="D11" s="6" t="s">
        <v>40</v>
      </c>
    </row>
    <row r="12" customFormat="false" ht="15" hidden="false" customHeight="false" outlineLevel="0" collapsed="false">
      <c r="A12" s="4" t="s">
        <v>41</v>
      </c>
      <c r="B12" s="9" t="n">
        <v>0</v>
      </c>
      <c r="C12" s="9" t="n">
        <v>50</v>
      </c>
      <c r="D12" s="6" t="s">
        <v>42</v>
      </c>
    </row>
    <row r="13" customFormat="false" ht="15" hidden="false" customHeight="false" outlineLevel="0" collapsed="false">
      <c r="A13" s="4" t="s">
        <v>43</v>
      </c>
      <c r="B13" s="9" t="n">
        <v>20</v>
      </c>
      <c r="C13" s="9" t="n">
        <v>20</v>
      </c>
      <c r="D13" s="6" t="s">
        <v>44</v>
      </c>
    </row>
    <row r="14" customFormat="false" ht="15" hidden="false" customHeight="false" outlineLevel="0" collapsed="false">
      <c r="A14" s="4" t="s">
        <v>45</v>
      </c>
      <c r="B14" s="9" t="n">
        <v>2</v>
      </c>
      <c r="C14" s="9" t="n">
        <v>2</v>
      </c>
      <c r="D14" s="6" t="s">
        <v>46</v>
      </c>
    </row>
    <row r="15" customFormat="false" ht="15" hidden="false" customHeight="false" outlineLevel="0" collapsed="false">
      <c r="A15" s="4" t="s">
        <v>47</v>
      </c>
      <c r="B15" s="9" t="n">
        <v>0</v>
      </c>
      <c r="C15" s="9" t="n">
        <v>15</v>
      </c>
      <c r="D15" s="6" t="s">
        <v>48</v>
      </c>
    </row>
    <row r="16" customFormat="false" ht="15" hidden="false" customHeight="false" outlineLevel="0" collapsed="false">
      <c r="A16" s="4" t="s">
        <v>49</v>
      </c>
      <c r="D16" s="6" t="s">
        <v>50</v>
      </c>
    </row>
    <row r="17" customFormat="false" ht="15" hidden="false" customHeight="false" outlineLevel="0" collapsed="false">
      <c r="A17" s="2" t="s">
        <v>51</v>
      </c>
      <c r="B17" s="3"/>
      <c r="C17" s="3"/>
      <c r="D17" s="3"/>
    </row>
    <row r="18" customFormat="false" ht="15" hidden="false" customHeight="false" outlineLevel="0" collapsed="false">
      <c r="A18" s="4" t="s">
        <v>52</v>
      </c>
      <c r="B18" s="17" t="n">
        <v>0.02</v>
      </c>
      <c r="C18" s="17" t="n">
        <v>0.02</v>
      </c>
      <c r="D18" s="6" t="s">
        <v>53</v>
      </c>
    </row>
    <row r="19" customFormat="false" ht="15" hidden="false" customHeight="false" outlineLevel="0" collapsed="false">
      <c r="A19" s="4" t="s">
        <v>54</v>
      </c>
      <c r="B19" s="11" t="n">
        <f aca="false">B18*Assumptions!B6</f>
        <v>2000</v>
      </c>
      <c r="C19" s="11" t="n">
        <f aca="false">C18*Assumptions!B6*2</f>
        <v>4000</v>
      </c>
    </row>
    <row r="21" customFormat="false" ht="15" hidden="false" customHeight="false" outlineLevel="0" collapsed="false">
      <c r="A21" s="18" t="s">
        <v>55</v>
      </c>
      <c r="B21" s="19" t="n">
        <f aca="false">SUM(B9:B15)+B19</f>
        <v>2151</v>
      </c>
      <c r="C21" s="19" t="n">
        <f aca="false">SUM(C9:C15)+C19</f>
        <v>4346</v>
      </c>
    </row>
    <row r="23" customFormat="false" ht="15" hidden="false" customHeight="false" outlineLevel="0" collapsed="false">
      <c r="A23" s="20" t="s">
        <v>56</v>
      </c>
      <c r="B23" s="21"/>
      <c r="C23" s="21"/>
      <c r="D23" s="21"/>
    </row>
    <row r="24" customFormat="false" ht="15" hidden="false" customHeight="false" outlineLevel="0" collapsed="false">
      <c r="A24" s="4" t="s">
        <v>57</v>
      </c>
      <c r="B24" s="4" t="s">
        <v>58</v>
      </c>
      <c r="D24" s="6" t="s">
        <v>59</v>
      </c>
    </row>
    <row r="25" customFormat="false" ht="15" hidden="false" customHeight="false" outlineLevel="0" collapsed="false">
      <c r="A25" s="4" t="s">
        <v>60</v>
      </c>
      <c r="B25" s="4" t="s">
        <v>61</v>
      </c>
      <c r="D25" s="6" t="s">
        <v>62</v>
      </c>
    </row>
    <row r="26" customFormat="false" ht="15" hidden="false" customHeight="false" outlineLevel="0" collapsed="false">
      <c r="A26" s="4" t="s">
        <v>63</v>
      </c>
      <c r="B26" s="4" t="s">
        <v>64</v>
      </c>
      <c r="D26" s="6" t="s">
        <v>65</v>
      </c>
    </row>
    <row r="27" customFormat="false" ht="15" hidden="false" customHeight="false" outlineLevel="0" collapsed="false">
      <c r="A27" s="4" t="s">
        <v>66</v>
      </c>
      <c r="B27" s="4" t="s">
        <v>67</v>
      </c>
      <c r="D27" s="6" t="s">
        <v>68</v>
      </c>
    </row>
    <row r="28" customFormat="false" ht="15" hidden="false" customHeight="false" outlineLevel="0" collapsed="false">
      <c r="A28" s="22" t="s">
        <v>69</v>
      </c>
      <c r="B28" s="4" t="s">
        <v>70</v>
      </c>
      <c r="D28" s="6" t="s">
        <v>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4"/>
  </cols>
  <sheetData>
    <row r="1" customFormat="false" ht="17.35" hidden="false" customHeight="false" outlineLevel="0" collapsed="false">
      <c r="A1" s="23" t="s">
        <v>72</v>
      </c>
      <c r="B1" s="23"/>
      <c r="C1" s="23"/>
    </row>
    <row r="3" customFormat="false" ht="15" hidden="false" customHeight="false" outlineLevel="0" collapsed="false">
      <c r="A3" s="24"/>
      <c r="B3" s="24" t="s">
        <v>73</v>
      </c>
      <c r="C3" s="24" t="s">
        <v>74</v>
      </c>
    </row>
    <row r="4" customFormat="false" ht="15" hidden="false" customHeight="false" outlineLevel="0" collapsed="false">
      <c r="A4" s="25" t="s">
        <v>75</v>
      </c>
      <c r="B4" s="26"/>
      <c r="C4" s="26"/>
    </row>
    <row r="5" customFormat="false" ht="15" hidden="false" customHeight="false" outlineLevel="0" collapsed="false">
      <c r="A5" s="4" t="s">
        <v>76</v>
      </c>
      <c r="B5" s="27" t="n">
        <f aca="false">Assumptions!B4</f>
        <v>50000</v>
      </c>
      <c r="C5" s="27" t="n">
        <f aca="false">Assumptions!B4*2</f>
        <v>100000</v>
      </c>
    </row>
    <row r="6" customFormat="false" ht="15" hidden="false" customHeight="false" outlineLevel="0" collapsed="false">
      <c r="A6" s="4" t="s">
        <v>77</v>
      </c>
      <c r="B6" s="28" t="n">
        <f aca="false">Assumptions!B5</f>
        <v>2</v>
      </c>
      <c r="C6" s="28" t="n">
        <f aca="false">Assumptions!B5</f>
        <v>2</v>
      </c>
    </row>
    <row r="7" customFormat="false" ht="15" hidden="false" customHeight="false" outlineLevel="0" collapsed="false">
      <c r="A7" s="4" t="s">
        <v>78</v>
      </c>
      <c r="B7" s="27" t="n">
        <f aca="false">B5*B6</f>
        <v>100000</v>
      </c>
      <c r="C7" s="27" t="n">
        <f aca="false">C5*C6</f>
        <v>200000</v>
      </c>
    </row>
    <row r="8" customFormat="false" ht="15" hidden="false" customHeight="false" outlineLevel="0" collapsed="false">
      <c r="A8" s="4" t="s">
        <v>79</v>
      </c>
      <c r="B8" s="29" t="n">
        <f aca="false">Assumptions!B21</f>
        <v>0.5</v>
      </c>
      <c r="C8" s="29" t="n">
        <f aca="false">Assumptions!B21</f>
        <v>0.5</v>
      </c>
    </row>
    <row r="9" customFormat="false" ht="15" hidden="false" customHeight="false" outlineLevel="0" collapsed="false">
      <c r="A9" s="22" t="s">
        <v>80</v>
      </c>
      <c r="B9" s="30" t="n">
        <f aca="false">B7*B8</f>
        <v>50000</v>
      </c>
      <c r="C9" s="30" t="n">
        <f aca="false">C7*C8</f>
        <v>100000</v>
      </c>
    </row>
    <row r="11" customFormat="false" ht="15" hidden="false" customHeight="false" outlineLevel="0" collapsed="false">
      <c r="A11" s="31" t="s">
        <v>81</v>
      </c>
      <c r="B11" s="32"/>
      <c r="C11" s="32"/>
    </row>
    <row r="12" customFormat="false" ht="15" hidden="false" customHeight="false" outlineLevel="0" collapsed="false">
      <c r="A12" s="4" t="s">
        <v>82</v>
      </c>
      <c r="B12" s="33" t="n">
        <f aca="false">'Infrastructure Costs'!B21</f>
        <v>2151</v>
      </c>
      <c r="C12" s="33" t="n">
        <f aca="false">'Infrastructure Costs'!C21</f>
        <v>4346</v>
      </c>
    </row>
    <row r="13" customFormat="false" ht="15" hidden="false" customHeight="false" outlineLevel="0" collapsed="false">
      <c r="A13" s="4" t="s">
        <v>83</v>
      </c>
      <c r="B13" s="33" t="n">
        <v>0</v>
      </c>
      <c r="C13" s="33" t="n">
        <v>0</v>
      </c>
    </row>
    <row r="14" customFormat="false" ht="15" hidden="false" customHeight="false" outlineLevel="0" collapsed="false">
      <c r="A14" s="15" t="s">
        <v>84</v>
      </c>
      <c r="B14" s="34" t="n">
        <f aca="false">B12+B13</f>
        <v>2151</v>
      </c>
      <c r="C14" s="34" t="n">
        <f aca="false">C12+C13</f>
        <v>4346</v>
      </c>
    </row>
    <row r="16" customFormat="false" ht="15" hidden="false" customHeight="false" outlineLevel="0" collapsed="false">
      <c r="A16" s="35" t="s">
        <v>85</v>
      </c>
      <c r="B16" s="36"/>
      <c r="C16" s="36"/>
    </row>
    <row r="17" customFormat="false" ht="16.15" hidden="false" customHeight="false" outlineLevel="0" collapsed="false">
      <c r="A17" s="37" t="s">
        <v>86</v>
      </c>
      <c r="B17" s="38" t="n">
        <f aca="false">B9-B14</f>
        <v>47849</v>
      </c>
      <c r="C17" s="38" t="n">
        <f aca="false">C9-C14</f>
        <v>95654</v>
      </c>
    </row>
    <row r="18" customFormat="false" ht="15" hidden="false" customHeight="false" outlineLevel="0" collapsed="false">
      <c r="A18" s="4" t="s">
        <v>87</v>
      </c>
      <c r="B18" s="33" t="n">
        <f aca="false">B17*12</f>
        <v>574188</v>
      </c>
      <c r="C18" s="33" t="n">
        <f aca="false">C17*12</f>
        <v>1147848</v>
      </c>
    </row>
    <row r="19" customFormat="false" ht="15" hidden="false" customHeight="false" outlineLevel="0" collapsed="false">
      <c r="A19" s="4" t="s">
        <v>88</v>
      </c>
      <c r="B19" s="39" t="n">
        <f aca="false">B17/B9</f>
        <v>0.95698</v>
      </c>
      <c r="C19" s="39" t="n">
        <f aca="false">C17/C9</f>
        <v>0.95654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89</v>
      </c>
      <c r="B21" s="33" t="n">
        <f aca="false">Assumptions!B17</f>
        <v>69444.4444444444</v>
      </c>
      <c r="C21" s="33" t="n">
        <f aca="false">Assumptions!B17*2</f>
        <v>138888.888888889</v>
      </c>
    </row>
    <row r="22" customFormat="false" ht="15" hidden="false" customHeight="false" outlineLevel="0" collapsed="false">
      <c r="A22" s="4" t="s">
        <v>90</v>
      </c>
      <c r="B22" s="39" t="n">
        <f aca="false">B17/B21</f>
        <v>0.6890256</v>
      </c>
      <c r="C22" s="39" t="n">
        <f aca="false">C17/C21</f>
        <v>0.6887088</v>
      </c>
    </row>
    <row r="23" customFormat="false" ht="15" hidden="false" customHeight="false" outlineLevel="0" collapsed="false">
      <c r="A23" s="4" t="s">
        <v>91</v>
      </c>
      <c r="B23" s="39" t="n">
        <f aca="false">B22*12</f>
        <v>8.2683072</v>
      </c>
      <c r="C23" s="39" t="n">
        <f aca="false">C22*12</f>
        <v>8.2645056</v>
      </c>
    </row>
    <row r="24" customFormat="false" ht="15" hidden="false" customHeight="false" outlineLevel="0" collapsed="false">
      <c r="A24" s="4"/>
    </row>
    <row r="25" customFormat="false" ht="15" hidden="false" customHeight="false" outlineLevel="0" collapsed="false">
      <c r="A25" s="4" t="s">
        <v>92</v>
      </c>
      <c r="B25" s="33" t="n">
        <f aca="false">B21+B14*3</f>
        <v>75897.4444444444</v>
      </c>
      <c r="C25" s="33" t="n">
        <f aca="false">C21+C14*3</f>
        <v>151926.888888889</v>
      </c>
    </row>
    <row r="26" customFormat="false" ht="15" hidden="false" customHeight="false" outlineLevel="0" collapsed="false">
      <c r="A26" s="4" t="s">
        <v>93</v>
      </c>
      <c r="B26" s="39" t="n">
        <f aca="false">B17/B25</f>
        <v>0.630442834409591</v>
      </c>
      <c r="C26" s="39" t="n">
        <f aca="false">C17/C25</f>
        <v>0.629605468127213</v>
      </c>
    </row>
    <row r="27" customFormat="false" ht="15" hidden="false" customHeight="false" outlineLevel="0" collapsed="false">
      <c r="A27" s="4" t="s">
        <v>94</v>
      </c>
      <c r="B27" s="40" t="n">
        <f aca="false">B25/B17</f>
        <v>1.58618663805815</v>
      </c>
      <c r="C27" s="40" t="n">
        <f aca="false">C25/C17</f>
        <v>1.58829624363737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41" t="s">
        <v>95</v>
      </c>
      <c r="B1" s="41"/>
      <c r="C1" s="41"/>
      <c r="D1" s="41"/>
      <c r="E1" s="41"/>
    </row>
    <row r="3" customFormat="false" ht="15" hidden="false" customHeight="false" outlineLevel="0" collapsed="false">
      <c r="A3" s="42" t="s">
        <v>96</v>
      </c>
    </row>
    <row r="5" customFormat="false" ht="15" hidden="false" customHeight="false" outlineLevel="0" collapsed="false">
      <c r="A5" s="43" t="s">
        <v>97</v>
      </c>
      <c r="B5" s="43" t="s">
        <v>98</v>
      </c>
      <c r="C5" s="43" t="s">
        <v>99</v>
      </c>
      <c r="D5" s="43" t="s">
        <v>100</v>
      </c>
    </row>
    <row r="6" customFormat="false" ht="15" hidden="false" customHeight="false" outlineLevel="0" collapsed="false">
      <c r="A6" s="4" t="s">
        <v>101</v>
      </c>
      <c r="B6" s="44" t="s">
        <v>102</v>
      </c>
      <c r="C6" s="45" t="s">
        <v>103</v>
      </c>
      <c r="D6" s="46" t="s">
        <v>104</v>
      </c>
    </row>
    <row r="7" customFormat="false" ht="15" hidden="false" customHeight="false" outlineLevel="0" collapsed="false">
      <c r="A7" s="4" t="s">
        <v>105</v>
      </c>
      <c r="B7" s="44" t="s">
        <v>106</v>
      </c>
      <c r="C7" s="45" t="s">
        <v>107</v>
      </c>
      <c r="D7" s="46" t="s">
        <v>108</v>
      </c>
    </row>
    <row r="8" customFormat="false" ht="15" hidden="false" customHeight="false" outlineLevel="0" collapsed="false">
      <c r="A8" s="4" t="s">
        <v>109</v>
      </c>
      <c r="B8" s="44" t="s">
        <v>110</v>
      </c>
      <c r="C8" s="45" t="s">
        <v>111</v>
      </c>
      <c r="D8" s="46" t="s">
        <v>112</v>
      </c>
    </row>
    <row r="9" customFormat="false" ht="15" hidden="false" customHeight="false" outlineLevel="0" collapsed="false">
      <c r="A9" s="4" t="s">
        <v>113</v>
      </c>
      <c r="B9" s="44" t="s">
        <v>114</v>
      </c>
      <c r="C9" s="45" t="s">
        <v>115</v>
      </c>
      <c r="D9" s="46" t="s">
        <v>116</v>
      </c>
    </row>
    <row r="10" customFormat="false" ht="15" hidden="false" customHeight="false" outlineLevel="0" collapsed="false">
      <c r="A10" s="4" t="s">
        <v>117</v>
      </c>
      <c r="B10" s="44" t="s">
        <v>118</v>
      </c>
      <c r="C10" s="45" t="s">
        <v>119</v>
      </c>
      <c r="D10" s="46" t="s">
        <v>120</v>
      </c>
    </row>
    <row r="11" customFormat="false" ht="15" hidden="false" customHeight="false" outlineLevel="0" collapsed="false">
      <c r="A11" s="4" t="s">
        <v>121</v>
      </c>
      <c r="B11" s="44" t="s">
        <v>122</v>
      </c>
      <c r="C11" s="45" t="s">
        <v>123</v>
      </c>
      <c r="D11" s="46" t="s">
        <v>124</v>
      </c>
    </row>
    <row r="12" customFormat="false" ht="15" hidden="false" customHeight="false" outlineLevel="0" collapsed="false">
      <c r="A12" s="4" t="s">
        <v>125</v>
      </c>
      <c r="B12" s="44" t="s">
        <v>126</v>
      </c>
      <c r="C12" s="45" t="s">
        <v>127</v>
      </c>
      <c r="D12" s="46" t="s">
        <v>128</v>
      </c>
    </row>
    <row r="13" customFormat="false" ht="15" hidden="false" customHeight="false" outlineLevel="0" collapsed="false">
      <c r="A13" s="4" t="s">
        <v>129</v>
      </c>
      <c r="B13" s="44" t="s">
        <v>130</v>
      </c>
      <c r="C13" s="45" t="s">
        <v>131</v>
      </c>
      <c r="D13" s="46" t="s">
        <v>132</v>
      </c>
    </row>
    <row r="16" customFormat="false" ht="15" hidden="false" customHeight="false" outlineLevel="0" collapsed="false">
      <c r="A16" s="42" t="s">
        <v>133</v>
      </c>
    </row>
    <row r="17" customFormat="false" ht="15" hidden="false" customHeight="false" outlineLevel="0" collapsed="false">
      <c r="A17" s="44" t="s">
        <v>134</v>
      </c>
    </row>
    <row r="18" customFormat="false" ht="15" hidden="false" customHeight="false" outlineLevel="0" collapsed="false">
      <c r="A18" s="44" t="s">
        <v>135</v>
      </c>
    </row>
    <row r="19" customFormat="false" ht="15" hidden="false" customHeight="false" outlineLevel="0" collapsed="false">
      <c r="A19" s="44" t="s">
        <v>136</v>
      </c>
    </row>
    <row r="20" customFormat="false" ht="15" hidden="false" customHeight="false" outlineLevel="0" collapsed="false">
      <c r="A20" s="44" t="s">
        <v>137</v>
      </c>
    </row>
    <row r="21" customFormat="false" ht="15" hidden="false" customHeight="false" outlineLevel="0" collapsed="false">
      <c r="A21" s="44" t="s">
        <v>138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2026-04-02T19:52:59Z</dcterms:created>
  <dc:creator>openpyxl</dc:creator>
  <dc:description/>
  <dc:language>en-US</dc:language>
  <cp:lastModifiedBy/>
  <dcterms:modified xsi:type="dcterms:W3CDTF">2026-04-02T19:52:59Z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
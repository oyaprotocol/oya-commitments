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Fixed Fee Model" sheetId="2" state="visible" r:id="rId4"/>
    <sheet name="Variable Fee Model" sheetId="3" state="visible" r:id="rId5"/>
    <sheet name="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<sst xmlns="http://schemas.openxmlformats.org/spreadsheetml/2006/main" count="102" uniqueCount="87">
  <si>
    <t xml:space="preserve">OYA NODE PROPOSER FEE MODEL</t>
  </si>
  <si>
    <t xml:space="preserve">CORE ASSUMPTIONS</t>
  </si>
  <si>
    <t xml:space="preserve">Notes</t>
  </si>
  <si>
    <t xml:space="preserve">Monthly transactions</t>
  </si>
  <si>
    <t xml:space="preserve">Total proposals submitted per month</t>
  </si>
  <si>
    <t xml:space="preserve">OO Bond amount (USDC)</t>
  </si>
  <si>
    <t xml:space="preserve">Per-proposal bond posted to Optimistic Oracle</t>
  </si>
  <si>
    <t xml:space="preserve">Challenge period (hours)</t>
  </si>
  <si>
    <t xml:space="preserve">Time bond is locked per proposal</t>
  </si>
  <si>
    <t xml:space="preserve">Average trade size (USDC)</t>
  </si>
  <si>
    <t xml:space="preserve">Average USDC value per copy-trade</t>
  </si>
  <si>
    <t xml:space="preserve">Gas cost per proposal (MATIC→USD)</t>
  </si>
  <si>
    <t xml:space="preserve">Polygon L2 gas cost per tx</t>
  </si>
  <si>
    <t xml:space="preserve">Days in month</t>
  </si>
  <si>
    <t xml:space="preserve">Hours in day</t>
  </si>
  <si>
    <t xml:space="preserve">DERIVED METRICS</t>
  </si>
  <si>
    <t xml:space="preserve">Transactions per hour</t>
  </si>
  <si>
    <t xml:space="preserve">Transactions per day</t>
  </si>
  <si>
    <t xml:space="preserve">Concurrent proposals (at any time)</t>
  </si>
  <si>
    <t xml:space="preserve">Capital locked in bonds at peak (USDC)</t>
  </si>
  <si>
    <t xml:space="preserve">Monthly gas costs (USD)</t>
  </si>
  <si>
    <t xml:space="preserve">FIXED FEE MODEL — Proposer charges flat fee per proposal</t>
  </si>
  <si>
    <t xml:space="preserve">FEE TIER COMPARISON</t>
  </si>
  <si>
    <t xml:space="preserve">Metric</t>
  </si>
  <si>
    <t xml:space="preserve">$0.25/proposal</t>
  </si>
  <si>
    <t xml:space="preserve">$0.50/proposal</t>
  </si>
  <si>
    <t xml:space="preserve">$1.00/proposal</t>
  </si>
  <si>
    <t xml:space="preserve">$2.00/proposal</t>
  </si>
  <si>
    <t xml:space="preserve">Fee per proposal (USDC)</t>
  </si>
  <si>
    <t xml:space="preserve">Monthly revenue (USDC)</t>
  </si>
  <si>
    <t xml:space="preserve">Monthly gas costs (USDC)</t>
  </si>
  <si>
    <t xml:space="preserve">Net monthly revenue (USDC)</t>
  </si>
  <si>
    <t xml:space="preserve">Capital required for bonds (USDC)</t>
  </si>
  <si>
    <t xml:space="preserve">Monthly ROI on bond capital</t>
  </si>
  <si>
    <t xml:space="preserve">Annualized ROI on bond capital</t>
  </si>
  <si>
    <t xml:space="preserve">Fee as % of avg trade</t>
  </si>
  <si>
    <t xml:space="preserve">Break-even txns/month (gas only)</t>
  </si>
  <si>
    <t xml:space="preserve">JOHN'S INSIGHT</t>
  </si>
  <si>
    <t xml:space="preserve">Fixed fee makes sense because the proposer's cost is the same</t>
  </si>
  <si>
    <t xml:space="preserve">whether it's a $10 trade or a $1,000,000 trade.</t>
  </si>
  <si>
    <t xml:space="preserve">The proposer's real costs: gas + opportunity cost of locked bond capital.</t>
  </si>
  <si>
    <t xml:space="preserve">VARIABLE FEE MODEL — Proposer charges % of trade value</t>
  </si>
  <si>
    <t xml:space="preserve">0.05%</t>
  </si>
  <si>
    <t xml:space="preserve">0.10%</t>
  </si>
  <si>
    <t xml:space="preserve">0.25%</t>
  </si>
  <si>
    <t xml:space="preserve">0.50%</t>
  </si>
  <si>
    <t xml:space="preserve">Fee rate</t>
  </si>
  <si>
    <t xml:space="preserve">Fee per avg trade (USDC)</t>
  </si>
  <si>
    <t xml:space="preserve">Revenue at $100 avg trade</t>
  </si>
  <si>
    <t xml:space="preserve">Revenue at $1,000 avg trade</t>
  </si>
  <si>
    <t xml:space="preserve">Revenue at $10,000 avg trade</t>
  </si>
  <si>
    <t xml:space="preserve">TRADE-OFF</t>
  </si>
  <si>
    <t xml:space="preserve">Variable fee scales with trade size but penalizes large traders.</t>
  </si>
  <si>
    <t xml:space="preserve">A whale doing a $100K trade pays $250 at 0.25% — same as the bond itself.</t>
  </si>
  <si>
    <t xml:space="preserve">Small traders pay almost nothing, which may not cover gas.</t>
  </si>
  <si>
    <t xml:space="preserve">FIXED vs VARIABLE — RECOMMENDATION</t>
  </si>
  <si>
    <t xml:space="preserve">SCENARIO: 100K txns/month</t>
  </si>
  <si>
    <t xml:space="preserve">Fixed ($0.50)</t>
  </si>
  <si>
    <t xml:space="preserve">Variable (0.10%)</t>
  </si>
  <si>
    <t xml:space="preserve">Winner</t>
  </si>
  <si>
    <t xml:space="preserve">Monthly gross revenue</t>
  </si>
  <si>
    <t xml:space="preserve">Monthly net revenue</t>
  </si>
  <si>
    <t xml:space="preserve">Revenue if avg trade = $100</t>
  </si>
  <si>
    <t xml:space="preserve">Revenue if avg trade = $1,000</t>
  </si>
  <si>
    <t xml:space="preserve">Revenue if avg trade = $10,000</t>
  </si>
  <si>
    <t xml:space="preserve">Predictability</t>
  </si>
  <si>
    <t xml:space="preserve">High</t>
  </si>
  <si>
    <t xml:space="preserve">Low</t>
  </si>
  <si>
    <t xml:space="preserve">Fixed</t>
  </si>
  <si>
    <t xml:space="preserve">Fairness to large traders</t>
  </si>
  <si>
    <t xml:space="preserve">Fairness to small traders</t>
  </si>
  <si>
    <t xml:space="preserve">Variable</t>
  </si>
  <si>
    <t xml:space="preserve">Proposer risk</t>
  </si>
  <si>
    <t xml:space="preserve">Medium</t>
  </si>
  <si>
    <t xml:space="preserve">RECOMMENDATION</t>
  </si>
  <si>
    <t xml:space="preserve">Fixed fee of $0.50-$1.00 per proposal</t>
  </si>
  <si>
    <t xml:space="preserve">Reasoning:</t>
  </si>
  <si>
    <t xml:space="preserve">1. Proposer costs are fixed (gas + bond capital) regardless of trade size</t>
  </si>
  <si>
    <t xml:space="preserve">2. Predictable revenue — easy to forecast and scale infrastructure</t>
  </si>
  <si>
    <t xml:space="preserve">3. Fair to whales — large traders aren't penalized with bigger fees</t>
  </si>
  <si>
    <t xml:space="preserve">4. At $0.50/proposal with 100K txns: $50K/month net on ~$70K bond capital</t>
  </si>
  <si>
    <t xml:space="preserve">5. That's ~71% monthly ROI / ~857% annualized on the bond capital</t>
  </si>
  <si>
    <t xml:space="preserve">6. The bond is recycled every 2 hours so capital efficiency is very high</t>
  </si>
  <si>
    <t xml:space="preserve">CAPITAL EFFICIENCY NOTE</t>
  </si>
  <si>
    <t xml:space="preserve">The 250 USDC bond is NOT spent — it's returned after each challenge period.</t>
  </si>
  <si>
    <t xml:space="preserve">With 2hr challenge periods, each 250 USDC cycles ~12x per day.</t>
  </si>
  <si>
    <t xml:space="preserve">You only need enough bonds to cover CONCURRENT proposals, not total.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</si>
</sst>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"/>
    <numFmt numFmtId="167" formatCode="\$#,##0.00"/>
    <numFmt numFmtId="168" formatCode="#,##0.0"/>
    <numFmt numFmtId="169" formatCode="0.0%"/>
    <numFmt numFmtId="170" formatCode="0.00%"/>
    <numFmt numFmtId="171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10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548235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BF8F00"/>
      <name val="Arial"/>
      <family val="0"/>
      <charset val="1"/>
    </font>
    <font>
      <b val="true"/>
      <sz val="11"/>
      <color rgb="FF7030A0"/>
      <name val="Arial"/>
      <family val="0"/>
      <charset val="1"/>
    </font>
    <font>
      <b val="true"/>
      <sz val="12"/>
      <color rgb="FF7030A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D6E4F0"/>
        <bgColor rgb="FFE2D0F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548235"/>
        <bgColor rgb="FF666666"/>
      </patternFill>
    </fill>
    <fill>
      <patternFill patternType="solid">
        <fgColor rgb="FFBF8F00"/>
        <bgColor rgb="FFFF6600"/>
      </patternFill>
    </fill>
    <fill>
      <patternFill patternType="solid">
        <fgColor rgb="FFFFF2CC"/>
        <bgColor rgb="FFF2F2F2"/>
      </patternFill>
    </fill>
    <fill>
      <patternFill patternType="solid">
        <fgColor rgb="FF7030A0"/>
        <bgColor rgb="FF993366"/>
      </patternFill>
    </fill>
    <fill>
      <patternFill patternType="solid">
        <fgColor rgb="FFE2D0F0"/>
        <bgColor rgb="FFD6E4F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D6E4F0"/>
      <rgbColor rgb="FF660066"/>
      <rgbColor rgb="FFFF8080"/>
      <rgbColor rgb="FF0066CC"/>
      <rgbColor rgb="FFE2D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22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3"/>
      <c r="C3" s="4" t="s">
        <v>2</v>
      </c>
    </row>
    <row r="4" customFormat="false" ht="15" hidden="false" customHeight="false" outlineLevel="0" collapsed="false">
      <c r="A4" s="5" t="s">
        <v>3</v>
      </c>
      <c r="B4" s="6" t="n">
        <v>100000</v>
      </c>
      <c r="C4" s="7" t="s">
        <v>4</v>
      </c>
    </row>
    <row r="5" customFormat="false" ht="15" hidden="false" customHeight="false" outlineLevel="0" collapsed="false">
      <c r="A5" s="5" t="s">
        <v>5</v>
      </c>
      <c r="B5" s="6" t="n">
        <v>250</v>
      </c>
      <c r="C5" s="7" t="s">
        <v>6</v>
      </c>
    </row>
    <row r="6" customFormat="false" ht="15" hidden="false" customHeight="false" outlineLevel="0" collapsed="false">
      <c r="A6" s="5" t="s">
        <v>7</v>
      </c>
      <c r="B6" s="8" t="n">
        <v>2</v>
      </c>
      <c r="C6" s="7" t="s">
        <v>8</v>
      </c>
    </row>
    <row r="7" customFormat="false" ht="15" hidden="false" customHeight="false" outlineLevel="0" collapsed="false">
      <c r="A7" s="5" t="s">
        <v>9</v>
      </c>
      <c r="B7" s="6" t="n">
        <v>500</v>
      </c>
      <c r="C7" s="7" t="s">
        <v>10</v>
      </c>
    </row>
    <row r="8" customFormat="false" ht="15" hidden="false" customHeight="false" outlineLevel="0" collapsed="false">
      <c r="A8" s="5" t="s">
        <v>11</v>
      </c>
      <c r="B8" s="9" t="n">
        <v>0.02</v>
      </c>
      <c r="C8" s="7" t="s">
        <v>12</v>
      </c>
    </row>
    <row r="9" customFormat="false" ht="15" hidden="false" customHeight="false" outlineLevel="0" collapsed="false">
      <c r="A9" s="5" t="s">
        <v>13</v>
      </c>
      <c r="B9" s="8" t="n">
        <v>30</v>
      </c>
      <c r="C9" s="7"/>
    </row>
    <row r="10" customFormat="false" ht="15" hidden="false" customHeight="false" outlineLevel="0" collapsed="false">
      <c r="A10" s="5" t="s">
        <v>14</v>
      </c>
      <c r="B10" s="8" t="n">
        <v>24</v>
      </c>
      <c r="C10" s="7"/>
    </row>
    <row r="12" customFormat="false" ht="15" hidden="false" customHeight="false" outlineLevel="0" collapsed="false">
      <c r="A12" s="2" t="s">
        <v>15</v>
      </c>
      <c r="B12" s="3"/>
    </row>
    <row r="13" customFormat="false" ht="15" hidden="false" customHeight="false" outlineLevel="0" collapsed="false">
      <c r="A13" s="5" t="s">
        <v>16</v>
      </c>
      <c r="B13" s="10" t="n">
        <f aca="false">B4/(B9*B10)</f>
        <v>138.888888888889</v>
      </c>
    </row>
    <row r="14" customFormat="false" ht="15" hidden="false" customHeight="false" outlineLevel="0" collapsed="false">
      <c r="A14" s="5" t="s">
        <v>17</v>
      </c>
      <c r="B14" s="10" t="n">
        <f aca="false">B4/B9</f>
        <v>3333.33333333333</v>
      </c>
    </row>
    <row r="15" customFormat="false" ht="15" hidden="false" customHeight="false" outlineLevel="0" collapsed="false">
      <c r="A15" s="5" t="s">
        <v>18</v>
      </c>
      <c r="B15" s="10" t="n">
        <f aca="false">B13*B6</f>
        <v>277.777777777778</v>
      </c>
    </row>
    <row r="16" customFormat="false" ht="15" hidden="false" customHeight="false" outlineLevel="0" collapsed="false">
      <c r="A16" s="5" t="s">
        <v>19</v>
      </c>
      <c r="B16" s="11" t="n">
        <f aca="false">B15*B5</f>
        <v>69444.4444444444</v>
      </c>
    </row>
    <row r="17" customFormat="false" ht="15" hidden="false" customHeight="false" outlineLevel="0" collapsed="false">
      <c r="A17" s="5" t="s">
        <v>20</v>
      </c>
      <c r="B17" s="11" t="n">
        <f aca="false">B4*B8</f>
        <v>2000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20"/>
  </cols>
  <sheetData>
    <row r="1" customFormat="false" ht="16.15" hidden="false" customHeight="false" outlineLevel="0" collapsed="false">
      <c r="A1" s="12" t="s">
        <v>21</v>
      </c>
      <c r="B1" s="12"/>
      <c r="C1" s="12"/>
      <c r="D1" s="12"/>
      <c r="E1" s="12"/>
    </row>
    <row r="3" customFormat="false" ht="15" hidden="false" customHeight="false" outlineLevel="0" collapsed="false">
      <c r="A3" s="2" t="s">
        <v>22</v>
      </c>
      <c r="B3" s="3"/>
      <c r="C3" s="3"/>
      <c r="D3" s="3"/>
      <c r="E3" s="3"/>
    </row>
    <row r="4" customFormat="false" ht="15" hidden="false" customHeight="false" outlineLevel="0" collapsed="false">
      <c r="A4" s="13" t="s">
        <v>23</v>
      </c>
      <c r="B4" s="13" t="s">
        <v>24</v>
      </c>
      <c r="C4" s="13" t="s">
        <v>25</v>
      </c>
      <c r="D4" s="13" t="s">
        <v>26</v>
      </c>
      <c r="E4" s="13" t="s">
        <v>27</v>
      </c>
    </row>
    <row r="5" customFormat="false" ht="15" hidden="false" customHeight="false" outlineLevel="0" collapsed="false">
      <c r="A5" s="5" t="s">
        <v>28</v>
      </c>
      <c r="B5" s="9" t="n">
        <v>0.25</v>
      </c>
      <c r="C5" s="9" t="n">
        <v>0.5</v>
      </c>
      <c r="D5" s="9" t="n">
        <v>1</v>
      </c>
      <c r="E5" s="9" t="n">
        <v>2</v>
      </c>
    </row>
    <row r="6" customFormat="false" ht="15" hidden="false" customHeight="false" outlineLevel="0" collapsed="false">
      <c r="A6" s="5" t="s">
        <v>29</v>
      </c>
      <c r="B6" s="14" t="n">
        <f aca="false">B5*Assumptions!B4</f>
        <v>25000</v>
      </c>
      <c r="C6" s="14" t="n">
        <f aca="false">C5*Assumptions!B4</f>
        <v>50000</v>
      </c>
      <c r="D6" s="14" t="n">
        <f aca="false">D5*Assumptions!B4</f>
        <v>100000</v>
      </c>
      <c r="E6" s="14" t="n">
        <f aca="false">E5*Assumptions!B4</f>
        <v>200000</v>
      </c>
    </row>
    <row r="7" customFormat="false" ht="15" hidden="false" customHeight="false" outlineLevel="0" collapsed="false">
      <c r="A7" s="5" t="s">
        <v>30</v>
      </c>
      <c r="B7" s="14" t="n">
        <f aca="false">Assumptions!B17</f>
        <v>2000</v>
      </c>
      <c r="C7" s="14" t="n">
        <f aca="false">Assumptions!B17</f>
        <v>2000</v>
      </c>
      <c r="D7" s="14" t="n">
        <f aca="false">Assumptions!B17</f>
        <v>2000</v>
      </c>
      <c r="E7" s="14" t="n">
        <f aca="false">Assumptions!B17</f>
        <v>2000</v>
      </c>
    </row>
    <row r="8" customFormat="false" ht="15" hidden="false" customHeight="false" outlineLevel="0" collapsed="false">
      <c r="A8" s="5" t="s">
        <v>31</v>
      </c>
      <c r="B8" s="14" t="n">
        <f aca="false">B6-B7</f>
        <v>23000</v>
      </c>
      <c r="C8" s="14" t="n">
        <f aca="false">C6-C7</f>
        <v>48000</v>
      </c>
      <c r="D8" s="14" t="n">
        <f aca="false">D6-D7</f>
        <v>98000</v>
      </c>
      <c r="E8" s="14" t="n">
        <f aca="false">E6-E7</f>
        <v>198000</v>
      </c>
    </row>
    <row r="9" customFormat="false" ht="15" hidden="false" customHeight="false" outlineLevel="0" collapsed="false">
      <c r="A9" s="5" t="s">
        <v>32</v>
      </c>
      <c r="B9" s="14" t="n">
        <f aca="false">Assumptions!B16</f>
        <v>69444.4444444444</v>
      </c>
      <c r="C9" s="14" t="n">
        <f aca="false">Assumptions!B16</f>
        <v>69444.4444444444</v>
      </c>
      <c r="D9" s="14" t="n">
        <f aca="false">Assumptions!B16</f>
        <v>69444.4444444444</v>
      </c>
      <c r="E9" s="14" t="n">
        <f aca="false">Assumptions!B16</f>
        <v>69444.4444444444</v>
      </c>
    </row>
    <row r="10" customFormat="false" ht="15" hidden="false" customHeight="false" outlineLevel="0" collapsed="false">
      <c r="A10" s="5" t="s">
        <v>33</v>
      </c>
      <c r="B10" s="15" t="n">
        <f aca="false">B8/B9</f>
        <v>0.3312</v>
      </c>
      <c r="C10" s="15" t="n">
        <f aca="false">C8/C9</f>
        <v>0.6912</v>
      </c>
      <c r="D10" s="15" t="n">
        <f aca="false">D8/D9</f>
        <v>1.4112</v>
      </c>
      <c r="E10" s="15" t="n">
        <f aca="false">E8/E9</f>
        <v>2.8512</v>
      </c>
    </row>
    <row r="11" customFormat="false" ht="15" hidden="false" customHeight="false" outlineLevel="0" collapsed="false">
      <c r="A11" s="5" t="s">
        <v>34</v>
      </c>
      <c r="B11" s="15" t="n">
        <f aca="false">B10*12</f>
        <v>3.9744</v>
      </c>
      <c r="C11" s="15" t="n">
        <f aca="false">C10*12</f>
        <v>8.2944</v>
      </c>
      <c r="D11" s="15" t="n">
        <f aca="false">D10*12</f>
        <v>16.9344</v>
      </c>
      <c r="E11" s="15" t="n">
        <f aca="false">E10*12</f>
        <v>34.2144</v>
      </c>
    </row>
    <row r="12" customFormat="false" ht="15" hidden="false" customHeight="false" outlineLevel="0" collapsed="false">
      <c r="A12" s="5" t="s">
        <v>35</v>
      </c>
      <c r="B12" s="16" t="n">
        <f aca="false">B5/Assumptions!B7</f>
        <v>0.0005</v>
      </c>
      <c r="C12" s="16" t="n">
        <f aca="false">C5/Assumptions!B7</f>
        <v>0.001</v>
      </c>
      <c r="D12" s="16" t="n">
        <f aca="false">D5/Assumptions!B7</f>
        <v>0.002</v>
      </c>
      <c r="E12" s="16" t="n">
        <f aca="false">E5/Assumptions!B7</f>
        <v>0.004</v>
      </c>
    </row>
    <row r="13" customFormat="false" ht="15" hidden="false" customHeight="false" outlineLevel="0" collapsed="false">
      <c r="A13" s="5" t="s">
        <v>36</v>
      </c>
      <c r="B13" s="17" t="n">
        <f aca="false">Assumptions!B17/B5</f>
        <v>8000</v>
      </c>
      <c r="C13" s="17" t="n">
        <f aca="false">Assumptions!B17/C5</f>
        <v>4000</v>
      </c>
      <c r="D13" s="17" t="n">
        <f aca="false">Assumptions!B17/D5</f>
        <v>2000</v>
      </c>
      <c r="E13" s="17" t="n">
        <f aca="false">Assumptions!B17/E5</f>
        <v>1000</v>
      </c>
    </row>
    <row r="16" customFormat="false" ht="15" hidden="false" customHeight="false" outlineLevel="0" collapsed="false">
      <c r="A16" s="18" t="s">
        <v>37</v>
      </c>
    </row>
    <row r="17" customFormat="false" ht="15" hidden="false" customHeight="false" outlineLevel="0" collapsed="false">
      <c r="A17" s="19" t="s">
        <v>38</v>
      </c>
    </row>
    <row r="18" customFormat="false" ht="15" hidden="false" customHeight="false" outlineLevel="0" collapsed="false">
      <c r="A18" s="19" t="s">
        <v>39</v>
      </c>
    </row>
    <row r="19" customFormat="false" ht="15" hidden="false" customHeight="false" outlineLevel="0" collapsed="false">
      <c r="A19" s="19" t="s">
        <v>40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20"/>
  </cols>
  <sheetData>
    <row r="1" customFormat="false" ht="16.15" hidden="false" customHeight="false" outlineLevel="0" collapsed="false">
      <c r="A1" s="20" t="s">
        <v>41</v>
      </c>
      <c r="B1" s="20"/>
      <c r="C1" s="20"/>
      <c r="D1" s="20"/>
      <c r="E1" s="20"/>
    </row>
    <row r="3" customFormat="false" ht="15" hidden="false" customHeight="false" outlineLevel="0" collapsed="false">
      <c r="A3" s="21" t="s">
        <v>22</v>
      </c>
      <c r="B3" s="22"/>
      <c r="C3" s="22"/>
      <c r="D3" s="22"/>
      <c r="E3" s="22"/>
    </row>
    <row r="4" customFormat="false" ht="15" hidden="false" customHeight="false" outlineLevel="0" collapsed="false">
      <c r="A4" s="23" t="s">
        <v>23</v>
      </c>
      <c r="B4" s="23" t="s">
        <v>42</v>
      </c>
      <c r="C4" s="23" t="s">
        <v>43</v>
      </c>
      <c r="D4" s="23" t="s">
        <v>44</v>
      </c>
      <c r="E4" s="23" t="s">
        <v>45</v>
      </c>
    </row>
    <row r="5" customFormat="false" ht="15" hidden="false" customHeight="false" outlineLevel="0" collapsed="false">
      <c r="A5" s="5" t="s">
        <v>46</v>
      </c>
      <c r="B5" s="24" t="n">
        <v>0.0005</v>
      </c>
      <c r="C5" s="24" t="n">
        <v>0.001</v>
      </c>
      <c r="D5" s="24" t="n">
        <v>0.0025</v>
      </c>
      <c r="E5" s="24" t="n">
        <v>0.005</v>
      </c>
    </row>
    <row r="6" customFormat="false" ht="15" hidden="false" customHeight="false" outlineLevel="0" collapsed="false">
      <c r="A6" s="5" t="s">
        <v>47</v>
      </c>
      <c r="B6" s="25" t="n">
        <f aca="false">B5*Assumptions!B7</f>
        <v>0.25</v>
      </c>
      <c r="C6" s="25" t="n">
        <f aca="false">C5*Assumptions!B7</f>
        <v>0.5</v>
      </c>
      <c r="D6" s="25" t="n">
        <f aca="false">D5*Assumptions!B7</f>
        <v>1.25</v>
      </c>
      <c r="E6" s="25" t="n">
        <f aca="false">E5*Assumptions!B7</f>
        <v>2.5</v>
      </c>
    </row>
    <row r="7" customFormat="false" ht="15" hidden="false" customHeight="false" outlineLevel="0" collapsed="false">
      <c r="A7" s="5" t="s">
        <v>29</v>
      </c>
      <c r="B7" s="14" t="n">
        <f aca="false">B6*Assumptions!B4</f>
        <v>25000</v>
      </c>
      <c r="C7" s="14" t="n">
        <f aca="false">C6*Assumptions!B4</f>
        <v>50000</v>
      </c>
      <c r="D7" s="14" t="n">
        <f aca="false">D6*Assumptions!B4</f>
        <v>125000</v>
      </c>
      <c r="E7" s="14" t="n">
        <f aca="false">E6*Assumptions!B4</f>
        <v>250000</v>
      </c>
    </row>
    <row r="8" customFormat="false" ht="15" hidden="false" customHeight="false" outlineLevel="0" collapsed="false">
      <c r="A8" s="5" t="s">
        <v>30</v>
      </c>
      <c r="B8" s="14" t="n">
        <f aca="false">Assumptions!B17</f>
        <v>2000</v>
      </c>
      <c r="C8" s="14" t="n">
        <f aca="false">Assumptions!B17</f>
        <v>2000</v>
      </c>
      <c r="D8" s="14" t="n">
        <f aca="false">Assumptions!B17</f>
        <v>2000</v>
      </c>
      <c r="E8" s="14" t="n">
        <f aca="false">Assumptions!B17</f>
        <v>2000</v>
      </c>
    </row>
    <row r="9" customFormat="false" ht="15" hidden="false" customHeight="false" outlineLevel="0" collapsed="false">
      <c r="A9" s="5" t="s">
        <v>31</v>
      </c>
      <c r="B9" s="14" t="n">
        <f aca="false">B7-B8</f>
        <v>23000</v>
      </c>
      <c r="C9" s="14" t="n">
        <f aca="false">C7-C8</f>
        <v>48000</v>
      </c>
      <c r="D9" s="14" t="n">
        <f aca="false">D7-D8</f>
        <v>123000</v>
      </c>
      <c r="E9" s="14" t="n">
        <f aca="false">E7-E8</f>
        <v>248000</v>
      </c>
    </row>
    <row r="10" customFormat="false" ht="15" hidden="false" customHeight="false" outlineLevel="0" collapsed="false">
      <c r="A10" s="5" t="s">
        <v>32</v>
      </c>
      <c r="B10" s="14" t="n">
        <f aca="false">Assumptions!B16</f>
        <v>69444.4444444444</v>
      </c>
      <c r="C10" s="14" t="n">
        <f aca="false">Assumptions!B16</f>
        <v>69444.4444444444</v>
      </c>
      <c r="D10" s="14" t="n">
        <f aca="false">Assumptions!B16</f>
        <v>69444.4444444444</v>
      </c>
      <c r="E10" s="14" t="n">
        <f aca="false">Assumptions!B16</f>
        <v>69444.4444444444</v>
      </c>
    </row>
    <row r="11" customFormat="false" ht="15" hidden="false" customHeight="false" outlineLevel="0" collapsed="false">
      <c r="A11" s="5" t="s">
        <v>33</v>
      </c>
      <c r="B11" s="15" t="n">
        <f aca="false">B9/B10</f>
        <v>0.3312</v>
      </c>
      <c r="C11" s="15" t="n">
        <f aca="false">C9/C10</f>
        <v>0.6912</v>
      </c>
      <c r="D11" s="15" t="n">
        <f aca="false">D9/D10</f>
        <v>1.7712</v>
      </c>
      <c r="E11" s="15" t="n">
        <f aca="false">E9/E10</f>
        <v>3.5712</v>
      </c>
    </row>
    <row r="12" customFormat="false" ht="15" hidden="false" customHeight="false" outlineLevel="0" collapsed="false">
      <c r="A12" s="5" t="s">
        <v>34</v>
      </c>
      <c r="B12" s="15" t="n">
        <f aca="false">B11*12</f>
        <v>3.9744</v>
      </c>
      <c r="C12" s="15" t="n">
        <f aca="false">C11*12</f>
        <v>8.2944</v>
      </c>
      <c r="D12" s="15" t="n">
        <f aca="false">D11*12</f>
        <v>21.2544</v>
      </c>
      <c r="E12" s="15" t="n">
        <f aca="false">E11*12</f>
        <v>42.8544</v>
      </c>
    </row>
    <row r="13" customFormat="false" ht="15" hidden="false" customHeight="false" outlineLevel="0" collapsed="false">
      <c r="A13" s="5" t="s">
        <v>48</v>
      </c>
      <c r="B13" s="14" t="n">
        <f aca="false">B5*100*Assumptions!B4</f>
        <v>5000</v>
      </c>
      <c r="C13" s="14" t="n">
        <f aca="false">C5*100*Assumptions!B4</f>
        <v>10000</v>
      </c>
      <c r="D13" s="14" t="n">
        <f aca="false">D5*100*Assumptions!B4</f>
        <v>25000</v>
      </c>
      <c r="E13" s="14" t="n">
        <f aca="false">E5*100*Assumptions!B4</f>
        <v>50000</v>
      </c>
    </row>
    <row r="14" customFormat="false" ht="15" hidden="false" customHeight="false" outlineLevel="0" collapsed="false">
      <c r="A14" s="5" t="s">
        <v>49</v>
      </c>
      <c r="B14" s="14" t="n">
        <f aca="false">B5*1000*Assumptions!B4</f>
        <v>50000</v>
      </c>
      <c r="C14" s="14" t="n">
        <f aca="false">C5*1000*Assumptions!B4</f>
        <v>100000</v>
      </c>
      <c r="D14" s="14" t="n">
        <f aca="false">D5*1000*Assumptions!B4</f>
        <v>250000</v>
      </c>
      <c r="E14" s="14" t="n">
        <f aca="false">E5*1000*Assumptions!B4</f>
        <v>500000</v>
      </c>
    </row>
    <row r="15" customFormat="false" ht="15" hidden="false" customHeight="false" outlineLevel="0" collapsed="false">
      <c r="A15" s="5" t="s">
        <v>50</v>
      </c>
      <c r="B15" s="14" t="n">
        <f aca="false">B5*10000*Assumptions!B4</f>
        <v>500000</v>
      </c>
      <c r="C15" s="14" t="n">
        <f aca="false">C5*10000*Assumptions!B4</f>
        <v>1000000</v>
      </c>
      <c r="D15" s="14" t="n">
        <f aca="false">D5*10000*Assumptions!B4</f>
        <v>2500000</v>
      </c>
      <c r="E15" s="14" t="n">
        <f aca="false">E5*10000*Assumptions!B4</f>
        <v>5000000</v>
      </c>
    </row>
    <row r="18" customFormat="false" ht="15" hidden="false" customHeight="false" outlineLevel="0" collapsed="false">
      <c r="A18" s="26" t="s">
        <v>51</v>
      </c>
    </row>
    <row r="19" customFormat="false" ht="15" hidden="false" customHeight="false" outlineLevel="0" collapsed="false">
      <c r="A19" s="19" t="s">
        <v>52</v>
      </c>
    </row>
    <row r="20" customFormat="false" ht="15" hidden="false" customHeight="false" outlineLevel="0" collapsed="false">
      <c r="A20" s="19" t="s">
        <v>53</v>
      </c>
    </row>
    <row r="21" customFormat="false" ht="15" hidden="false" customHeight="false" outlineLevel="0" collapsed="false">
      <c r="A21" s="19" t="s">
        <v>54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22"/>
  </cols>
  <sheetData>
    <row r="1" customFormat="false" ht="17.35" hidden="false" customHeight="false" outlineLevel="0" collapsed="false">
      <c r="A1" s="27" t="s">
        <v>55</v>
      </c>
      <c r="B1" s="27"/>
      <c r="C1" s="27"/>
      <c r="D1" s="27"/>
    </row>
    <row r="3" customFormat="false" ht="15" hidden="false" customHeight="false" outlineLevel="0" collapsed="false">
      <c r="A3" s="28" t="s">
        <v>56</v>
      </c>
      <c r="B3" s="29"/>
      <c r="C3" s="29"/>
      <c r="D3" s="29"/>
    </row>
    <row r="4" customFormat="false" ht="15" hidden="false" customHeight="false" outlineLevel="0" collapsed="false">
      <c r="A4" s="30"/>
      <c r="B4" s="30" t="s">
        <v>57</v>
      </c>
      <c r="C4" s="30" t="s">
        <v>58</v>
      </c>
      <c r="D4" s="30" t="s">
        <v>59</v>
      </c>
    </row>
    <row r="5" customFormat="false" ht="15" hidden="false" customHeight="false" outlineLevel="0" collapsed="false">
      <c r="A5" s="5" t="s">
        <v>60</v>
      </c>
      <c r="B5" s="14" t="n">
        <f aca="false">'Fixed Fee Model'!C6</f>
        <v>50000</v>
      </c>
      <c r="C5" s="14" t="n">
        <f aca="false">'Variable Fee Model'!C7</f>
        <v>50000</v>
      </c>
      <c r="D5" s="31" t="str">
        <f aca="false">IF(B5&gt;C5,"Fixed","Variable")</f>
        <v>Variable</v>
      </c>
    </row>
    <row r="6" customFormat="false" ht="15" hidden="false" customHeight="false" outlineLevel="0" collapsed="false">
      <c r="A6" s="5" t="s">
        <v>61</v>
      </c>
      <c r="B6" s="14" t="n">
        <f aca="false">'Fixed Fee Model'!C8</f>
        <v>48000</v>
      </c>
      <c r="C6" s="14" t="n">
        <f aca="false">'Variable Fee Model'!C9</f>
        <v>48000</v>
      </c>
      <c r="D6" s="31" t="str">
        <f aca="false">IF(B6&gt;C6,"Fixed","Variable")</f>
        <v>Variable</v>
      </c>
    </row>
    <row r="7" customFormat="false" ht="15" hidden="false" customHeight="false" outlineLevel="0" collapsed="false">
      <c r="A7" s="5" t="s">
        <v>62</v>
      </c>
      <c r="B7" s="14" t="n">
        <f aca="false">'Fixed Fee Model'!C6</f>
        <v>50000</v>
      </c>
      <c r="C7" s="14" t="n">
        <f aca="false">'Variable Fee Model'!C13</f>
        <v>10000</v>
      </c>
      <c r="D7" s="31" t="str">
        <f aca="false">IF(B7&gt;C7,"Fixed","Variable")</f>
        <v>Fixed</v>
      </c>
    </row>
    <row r="8" customFormat="false" ht="15" hidden="false" customHeight="false" outlineLevel="0" collapsed="false">
      <c r="A8" s="5" t="s">
        <v>63</v>
      </c>
      <c r="B8" s="14" t="n">
        <f aca="false">'Fixed Fee Model'!C6</f>
        <v>50000</v>
      </c>
      <c r="C8" s="14" t="n">
        <f aca="false">'Variable Fee Model'!C14</f>
        <v>100000</v>
      </c>
      <c r="D8" s="31" t="str">
        <f aca="false">IF(B8&gt;C8,"Fixed","Variable")</f>
        <v>Variable</v>
      </c>
    </row>
    <row r="9" customFormat="false" ht="15" hidden="false" customHeight="false" outlineLevel="0" collapsed="false">
      <c r="A9" s="5" t="s">
        <v>64</v>
      </c>
      <c r="B9" s="14" t="n">
        <f aca="false">'Fixed Fee Model'!C6</f>
        <v>50000</v>
      </c>
      <c r="C9" s="14" t="n">
        <f aca="false">'Variable Fee Model'!C15</f>
        <v>1000000</v>
      </c>
      <c r="D9" s="31" t="str">
        <f aca="false">IF(B9&gt;C9,"Fixed","Variable")</f>
        <v>Variable</v>
      </c>
    </row>
    <row r="10" customFormat="false" ht="15" hidden="false" customHeight="false" outlineLevel="0" collapsed="false">
      <c r="A10" s="5" t="s">
        <v>65</v>
      </c>
      <c r="B10" s="14" t="s">
        <v>66</v>
      </c>
      <c r="C10" s="14" t="s">
        <v>67</v>
      </c>
      <c r="D10" s="31" t="s">
        <v>68</v>
      </c>
    </row>
    <row r="11" customFormat="false" ht="15" hidden="false" customHeight="false" outlineLevel="0" collapsed="false">
      <c r="A11" s="5" t="s">
        <v>69</v>
      </c>
      <c r="B11" s="14" t="s">
        <v>66</v>
      </c>
      <c r="C11" s="14" t="s">
        <v>67</v>
      </c>
      <c r="D11" s="31" t="s">
        <v>68</v>
      </c>
    </row>
    <row r="12" customFormat="false" ht="15" hidden="false" customHeight="false" outlineLevel="0" collapsed="false">
      <c r="A12" s="5" t="s">
        <v>70</v>
      </c>
      <c r="B12" s="14" t="s">
        <v>67</v>
      </c>
      <c r="C12" s="14" t="s">
        <v>66</v>
      </c>
      <c r="D12" s="31" t="s">
        <v>71</v>
      </c>
    </row>
    <row r="13" customFormat="false" ht="15" hidden="false" customHeight="false" outlineLevel="0" collapsed="false">
      <c r="A13" s="5" t="s">
        <v>72</v>
      </c>
      <c r="B13" s="14" t="s">
        <v>67</v>
      </c>
      <c r="C13" s="14" t="s">
        <v>73</v>
      </c>
      <c r="D13" s="31" t="s">
        <v>68</v>
      </c>
    </row>
    <row r="16" customFormat="false" ht="15" hidden="false" customHeight="false" outlineLevel="0" collapsed="false">
      <c r="A16" s="32" t="s">
        <v>74</v>
      </c>
    </row>
    <row r="17" customFormat="false" ht="15" hidden="false" customHeight="false" outlineLevel="0" collapsed="false">
      <c r="A17" s="33" t="s">
        <v>75</v>
      </c>
    </row>
    <row r="18" customFormat="false" ht="15" hidden="false" customHeight="false" outlineLevel="0" collapsed="false">
      <c r="A18" s="34" t="s">
        <v>76</v>
      </c>
    </row>
    <row r="19" customFormat="false" ht="15" hidden="false" customHeight="false" outlineLevel="0" collapsed="false">
      <c r="A19" s="35" t="s">
        <v>77</v>
      </c>
    </row>
    <row r="20" customFormat="false" ht="15" hidden="false" customHeight="false" outlineLevel="0" collapsed="false">
      <c r="A20" s="35" t="s">
        <v>78</v>
      </c>
    </row>
    <row r="21" customFormat="false" ht="15" hidden="false" customHeight="false" outlineLevel="0" collapsed="false">
      <c r="A21" s="35" t="s">
        <v>79</v>
      </c>
    </row>
    <row r="22" customFormat="false" ht="15" hidden="false" customHeight="false" outlineLevel="0" collapsed="false">
      <c r="A22" s="35" t="s">
        <v>80</v>
      </c>
    </row>
    <row r="23" customFormat="false" ht="15" hidden="false" customHeight="false" outlineLevel="0" collapsed="false">
      <c r="A23" s="35" t="s">
        <v>81</v>
      </c>
    </row>
    <row r="24" customFormat="false" ht="15" hidden="false" customHeight="false" outlineLevel="0" collapsed="false">
      <c r="A24" s="35" t="s">
        <v>82</v>
      </c>
    </row>
    <row r="26" customFormat="false" ht="15" hidden="false" customHeight="false" outlineLevel="0" collapsed="false">
      <c r="A26" s="31" t="s">
        <v>83</v>
      </c>
    </row>
    <row r="27" customFormat="false" ht="15" hidden="false" customHeight="false" outlineLevel="0" collapsed="false">
      <c r="A27" s="35" t="s">
        <v>84</v>
      </c>
    </row>
    <row r="28" customFormat="false" ht="15" hidden="false" customHeight="false" outlineLevel="0" collapsed="false">
      <c r="A28" s="35" t="s">
        <v>85</v>
      </c>
    </row>
    <row r="29" customFormat="false" ht="15" hidden="false" customHeight="false" outlineLevel="0" collapsed="false">
      <c r="A29" s="34" t="s">
        <v>86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2026-04-02T19:35:45Z</dcterms:created>
  <dc:creator>openpyxl</dc:creator>
  <dc:description/>
  <dc:language>en-US</dc:language>
  <cp:lastModifiedBy/>
  <dcterms:modified xsi:type="dcterms:W3CDTF">2026-04-02T19:35:45Z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